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N3PEPF0000C5CE\EXCELCNV\a1a5b09a-04dd-4334-93a2-9f3bdda128e8\"/>
    </mc:Choice>
  </mc:AlternateContent>
  <xr:revisionPtr revIDLastSave="0" documentId="8_{14E86651-213B-4D95-8FFB-E8676CCED006}" xr6:coauthVersionLast="47" xr6:coauthVersionMax="47" xr10:uidLastSave="{00000000-0000-0000-0000-000000000000}"/>
  <bookViews>
    <workbookView xWindow="-60" yWindow="-60" windowWidth="15480" windowHeight="11640" xr2:uid="{1CF0E5E0-59A1-4E4F-8DE8-067CCD43B6D0}"/>
  </bookViews>
  <sheets>
    <sheet name="PROFORMA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2" l="1"/>
  <c r="H18" i="22" s="1"/>
  <c r="G17" i="22"/>
  <c r="H17" i="22" s="1"/>
  <c r="H21" i="22" l="1"/>
  <c r="H22" i="22"/>
  <c r="H23" i="22" l="1"/>
  <c r="H24" i="22" s="1"/>
  <c r="D29" i="22" l="1"/>
  <c r="D28" i="22"/>
  <c r="D27" i="22"/>
  <c r="D30" i="22" s="1"/>
  <c r="F30" i="22" s="1"/>
</calcChain>
</file>

<file path=xl/sharedStrings.xml><?xml version="1.0" encoding="utf-8"?>
<sst xmlns="http://schemas.openxmlformats.org/spreadsheetml/2006/main" count="41" uniqueCount="37">
  <si>
    <t>PROFORMA</t>
  </si>
  <si>
    <t xml:space="preserve">CLIENTE :  </t>
  </si>
  <si>
    <t>"Nombre del cliente"</t>
  </si>
  <si>
    <t xml:space="preserve">FECHA :  </t>
  </si>
  <si>
    <t xml:space="preserve">DIRECCIÓN :  </t>
  </si>
  <si>
    <t>"Direccion"</t>
  </si>
  <si>
    <t xml:space="preserve">MODELO :  </t>
  </si>
  <si>
    <t>-</t>
  </si>
  <si>
    <t>OBRA:</t>
  </si>
  <si>
    <t>"Nombre de la obra"</t>
  </si>
  <si>
    <t xml:space="preserve"> </t>
  </si>
  <si>
    <t>ITEM</t>
  </si>
  <si>
    <t>DETALLE</t>
  </si>
  <si>
    <t>DESCRIPCIÓN</t>
  </si>
  <si>
    <t>CANTIDAD/METRAJE</t>
  </si>
  <si>
    <t>PRECIO</t>
  </si>
  <si>
    <t>DESCUENTO INDIVIDUAL</t>
  </si>
  <si>
    <t>TOTAL</t>
  </si>
  <si>
    <t>Producto 1</t>
  </si>
  <si>
    <t>"Detalles del producto"</t>
  </si>
  <si>
    <t>"Color de melaminico si se especifica"</t>
  </si>
  <si>
    <t>Prodcuto X</t>
  </si>
  <si>
    <t>"Se agrega una fila debajo de acuerdo a cada producto que se va a agregar"</t>
  </si>
  <si>
    <t>SUBTOTAL</t>
  </si>
  <si>
    <t>DESCUENTO GLOBAL (0%)</t>
  </si>
  <si>
    <t>I.V.A. 15%:</t>
  </si>
  <si>
    <t>TOTAL:</t>
  </si>
  <si>
    <t>FORMA DE PAGO:</t>
  </si>
  <si>
    <t>PAGO REALIZADO</t>
  </si>
  <si>
    <t>1.-Anticipo al contratar del 60%</t>
  </si>
  <si>
    <t>Primer anticipo</t>
  </si>
  <si>
    <t>2.-Anticipo cuando los modulares se encuentren en la obra del 20%</t>
  </si>
  <si>
    <t>Segundo anticipo</t>
  </si>
  <si>
    <t>3.-Pago al entregar la obra del 20%</t>
  </si>
  <si>
    <t>Ultimo pago</t>
  </si>
  <si>
    <t>TOTAL PROYECTO:</t>
  </si>
  <si>
    <t>Saldo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</si>
</sst>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&quot;$&quot;\ * #,##0.00_ ;_ &quot;$&quot;\ * \-#,##0.00_ ;_ &quot;$&quot;\ * &quot;-&quot;??_ ;_ @_ "/>
  </numFmts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16"/>
      <name val="Cambria"/>
      <scheme val="major"/>
    </font>
    <font>
      <sz val="10"/>
      <name val="Cambria"/>
      <scheme val="major"/>
    </font>
    <font>
      <sz val="9"/>
      <name val="Cambria"/>
      <scheme val="major"/>
    </font>
    <font>
      <b/>
      <sz val="9"/>
      <name val="Cambria"/>
      <scheme val="major"/>
    </font>
    <font>
      <b/>
      <u/>
      <sz val="9"/>
      <name val="Cambria"/>
      <scheme val="major"/>
    </font>
    <font>
      <b/>
      <sz val="10"/>
      <name val="Cambria"/>
      <scheme val="major"/>
    </font>
    <font>
      <b/>
      <sz val="10"/>
      <name val="Cambri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/>
    <xf numFmtId="0" fontId="4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horizontal="right"/>
    </xf>
    <xf numFmtId="4" fontId="8" fillId="0" borderId="0" xfId="1" applyNumberFormat="1" applyFont="1" applyBorder="1" applyAlignment="1">
      <alignment horizontal="center"/>
    </xf>
    <xf numFmtId="0" fontId="11" fillId="0" borderId="0" xfId="0" applyFont="1"/>
    <xf numFmtId="0" fontId="9" fillId="0" borderId="1" xfId="0" quotePrefix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quotePrefix="1" applyFont="1" applyBorder="1" applyAlignment="1">
      <alignment horizontal="right"/>
    </xf>
    <xf numFmtId="165" fontId="9" fillId="2" borderId="10" xfId="2" applyFont="1" applyFill="1" applyBorder="1" applyAlignment="1">
      <alignment horizontal="center" vertical="center"/>
    </xf>
    <xf numFmtId="165" fontId="8" fillId="2" borderId="6" xfId="2" applyFont="1" applyFill="1" applyBorder="1" applyAlignment="1">
      <alignment horizontal="right" vertical="center"/>
    </xf>
    <xf numFmtId="165" fontId="8" fillId="2" borderId="9" xfId="2" applyFont="1" applyFill="1" applyBorder="1" applyAlignment="1">
      <alignment horizontal="right" vertical="center"/>
    </xf>
    <xf numFmtId="165" fontId="9" fillId="3" borderId="12" xfId="2" applyFont="1" applyFill="1" applyBorder="1" applyAlignment="1">
      <alignment horizontal="right" vertical="center"/>
    </xf>
    <xf numFmtId="49" fontId="7" fillId="0" borderId="2" xfId="0" applyNumberFormat="1" applyFont="1" applyBorder="1" applyAlignment="1">
      <alignment horizontal="left"/>
    </xf>
    <xf numFmtId="165" fontId="9" fillId="2" borderId="0" xfId="2" applyFont="1" applyFill="1" applyBorder="1" applyAlignment="1">
      <alignment horizontal="center"/>
    </xf>
    <xf numFmtId="165" fontId="9" fillId="2" borderId="0" xfId="2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5" fontId="9" fillId="0" borderId="0" xfId="2" applyFont="1" applyFill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165" fontId="9" fillId="2" borderId="7" xfId="2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right" vertical="center"/>
    </xf>
    <xf numFmtId="165" fontId="9" fillId="3" borderId="11" xfId="2" applyFont="1" applyFill="1" applyBorder="1" applyAlignment="1">
      <alignment horizontal="center" vertical="center" wrapText="1"/>
    </xf>
    <xf numFmtId="165" fontId="9" fillId="3" borderId="13" xfId="2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165" fontId="8" fillId="0" borderId="0" xfId="2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5" fontId="8" fillId="0" borderId="14" xfId="2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165" fontId="8" fillId="0" borderId="18" xfId="2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65" fontId="9" fillId="2" borderId="20" xfId="2" applyFont="1" applyFill="1" applyBorder="1" applyAlignment="1">
      <alignment horizontal="center" vertical="center" wrapText="1"/>
    </xf>
    <xf numFmtId="165" fontId="9" fillId="3" borderId="20" xfId="2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165" fontId="8" fillId="0" borderId="19" xfId="2" applyFont="1" applyBorder="1" applyAlignment="1">
      <alignment horizontal="center" vertical="center" wrapText="1"/>
    </xf>
    <xf numFmtId="165" fontId="9" fillId="2" borderId="19" xfId="2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170392</xdr:colOff>
      <xdr:row>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02887-16F2-F265-C3E5-88F33A55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58125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19050</xdr:rowOff>
    </xdr:from>
    <xdr:to>
      <xdr:col>8</xdr:col>
      <xdr:colOff>132292</xdr:colOff>
      <xdr:row>36</xdr:row>
      <xdr:rowOff>133349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C6520D-423E-F59C-5484-5F12FDEBCA8E}"/>
            </a:ext>
            <a:ext uri="{147F2762-F138-4A5C-976F-8EAC2B608ADB}">
              <a16:predDERef xmlns:a16="http://schemas.microsoft.com/office/drawing/2014/main" pred="{C8902887-16F2-F265-C3E5-88F33A55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7838017" cy="923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A2F2-0313-4AC0-BEA8-D6792167E57A}">
  <sheetPr>
    <pageSetUpPr fitToPage="1"/>
  </sheetPr>
  <dimension ref="A3:H30"/>
  <sheetViews>
    <sheetView tabSelected="1" zoomScale="107" zoomScaleNormal="100" workbookViewId="0">
      <selection activeCell="B19" sqref="B19"/>
    </sheetView>
  </sheetViews>
  <sheetFormatPr defaultColWidth="11.42578125" defaultRowHeight="12.75"/>
  <cols>
    <col min="1" max="1" width="10.7109375" style="1" customWidth="1"/>
    <col min="2" max="2" width="23.140625" style="1" customWidth="1"/>
    <col min="3" max="3" width="30.5703125" style="1" customWidth="1"/>
    <col min="4" max="4" width="16.5703125" style="1" customWidth="1"/>
    <col min="5" max="5" width="11.140625" style="1" customWidth="1"/>
    <col min="6" max="6" width="12" style="1" customWidth="1"/>
    <col min="7" max="7" width="12" style="1" hidden="1" customWidth="1"/>
    <col min="8" max="8" width="11.42578125" style="1" customWidth="1"/>
    <col min="9" max="9" width="11.42578125" style="1"/>
    <col min="10" max="10" width="23.5703125" style="1" bestFit="1" customWidth="1"/>
    <col min="11" max="15" width="11.42578125" style="1"/>
    <col min="16" max="16" width="21.85546875" style="1" bestFit="1" customWidth="1"/>
    <col min="17" max="16384" width="11.42578125" style="1"/>
  </cols>
  <sheetData>
    <row r="3" spans="1:8">
      <c r="A3" s="4"/>
      <c r="B3" s="4"/>
      <c r="C3" s="4"/>
      <c r="D3" s="4"/>
      <c r="E3" s="5"/>
      <c r="F3" s="2"/>
      <c r="G3" s="2"/>
      <c r="H3" s="3"/>
    </row>
    <row r="4" spans="1:8">
      <c r="A4" s="4"/>
      <c r="B4" s="4"/>
      <c r="C4" s="4"/>
      <c r="D4" s="4"/>
    </row>
    <row r="5" spans="1:8">
      <c r="A5" s="4"/>
      <c r="B5" s="4"/>
      <c r="C5" s="4"/>
      <c r="D5" s="4"/>
      <c r="E5" s="2"/>
      <c r="F5" s="2"/>
      <c r="G5" s="2"/>
      <c r="H5" s="3"/>
    </row>
    <row r="6" spans="1:8">
      <c r="A6" s="4"/>
      <c r="B6" s="4"/>
      <c r="C6" s="4"/>
      <c r="D6" s="4"/>
      <c r="E6" s="2"/>
      <c r="F6" s="2"/>
      <c r="G6" s="2"/>
      <c r="H6" s="3"/>
    </row>
    <row r="7" spans="1:8">
      <c r="A7" s="4"/>
      <c r="B7" s="4"/>
      <c r="C7" s="4"/>
      <c r="D7" s="4"/>
      <c r="E7" s="25"/>
      <c r="F7" s="25"/>
      <c r="G7" s="25"/>
      <c r="H7" s="25"/>
    </row>
    <row r="8" spans="1:8">
      <c r="A8" s="4"/>
      <c r="B8" s="4"/>
      <c r="C8" s="4"/>
      <c r="D8" s="4"/>
      <c r="E8" s="4"/>
      <c r="F8" s="4"/>
      <c r="G8" s="4"/>
    </row>
    <row r="9" spans="1:8" ht="20.25">
      <c r="A9" s="26" t="s">
        <v>0</v>
      </c>
      <c r="B9" s="26"/>
      <c r="C9" s="26"/>
      <c r="D9" s="26"/>
      <c r="E9" s="26"/>
      <c r="F9" s="26"/>
      <c r="G9" s="26"/>
      <c r="H9" s="26"/>
    </row>
    <row r="10" spans="1:8">
      <c r="A10" s="14" t="s">
        <v>1</v>
      </c>
      <c r="B10" s="27" t="s">
        <v>2</v>
      </c>
      <c r="C10" s="28"/>
      <c r="D10" s="24"/>
      <c r="E10" s="16" t="s">
        <v>3</v>
      </c>
      <c r="F10" s="31">
        <v>46188</v>
      </c>
      <c r="G10" s="32"/>
      <c r="H10" s="33"/>
    </row>
    <row r="11" spans="1:8">
      <c r="A11" s="14" t="s">
        <v>4</v>
      </c>
      <c r="B11" s="27" t="s">
        <v>5</v>
      </c>
      <c r="C11" s="28"/>
      <c r="D11" s="24"/>
      <c r="E11" s="16" t="s">
        <v>6</v>
      </c>
      <c r="F11" s="34" t="s">
        <v>7</v>
      </c>
      <c r="G11" s="35"/>
      <c r="H11" s="36"/>
    </row>
    <row r="12" spans="1:8">
      <c r="A12" s="15" t="s">
        <v>8</v>
      </c>
      <c r="B12" s="29" t="s">
        <v>9</v>
      </c>
      <c r="C12" s="30"/>
      <c r="D12" s="21"/>
      <c r="E12" s="7"/>
      <c r="F12" s="8"/>
      <c r="G12" s="8"/>
      <c r="H12" s="9"/>
    </row>
    <row r="13" spans="1:8">
      <c r="A13" s="10"/>
      <c r="B13" s="10"/>
      <c r="C13" s="10"/>
      <c r="D13" s="10"/>
      <c r="E13" s="10" t="s">
        <v>10</v>
      </c>
      <c r="F13" s="10"/>
      <c r="G13" s="10"/>
      <c r="H13" s="10"/>
    </row>
    <row r="15" spans="1:8" ht="24">
      <c r="A15" s="69" t="s">
        <v>11</v>
      </c>
      <c r="B15" s="70" t="s">
        <v>12</v>
      </c>
      <c r="C15" s="71" t="s">
        <v>13</v>
      </c>
      <c r="D15" s="71"/>
      <c r="E15" s="60" t="s">
        <v>14</v>
      </c>
      <c r="F15" s="72" t="s">
        <v>15</v>
      </c>
      <c r="G15" s="73" t="s">
        <v>16</v>
      </c>
      <c r="H15" s="70" t="s">
        <v>17</v>
      </c>
    </row>
    <row r="16" spans="1:8">
      <c r="A16" s="52"/>
      <c r="B16" s="63"/>
      <c r="C16" s="47"/>
      <c r="D16" s="47"/>
      <c r="E16" s="58"/>
      <c r="F16" s="53"/>
      <c r="G16" s="47"/>
      <c r="H16" s="58"/>
    </row>
    <row r="17" spans="1:8" ht="39">
      <c r="A17" s="54">
        <v>1</v>
      </c>
      <c r="B17" s="78" t="s">
        <v>18</v>
      </c>
      <c r="C17" s="49" t="s">
        <v>19</v>
      </c>
      <c r="D17" s="49" t="s">
        <v>20</v>
      </c>
      <c r="E17" s="65">
        <v>1</v>
      </c>
      <c r="F17" s="55">
        <v>815</v>
      </c>
      <c r="G17" s="50">
        <f>F17*0</f>
        <v>0</v>
      </c>
      <c r="H17" s="59">
        <f>((E17*F17)-G17)</f>
        <v>815</v>
      </c>
    </row>
    <row r="18" spans="1:8">
      <c r="A18" s="54">
        <v>2</v>
      </c>
      <c r="B18" s="79" t="s">
        <v>21</v>
      </c>
      <c r="C18" s="49" t="s">
        <v>19</v>
      </c>
      <c r="D18" s="49" t="s">
        <v>7</v>
      </c>
      <c r="E18" s="65">
        <v>1</v>
      </c>
      <c r="F18" s="55">
        <v>544.92999999999995</v>
      </c>
      <c r="G18" s="50">
        <f>F18*0</f>
        <v>0</v>
      </c>
      <c r="H18" s="59">
        <f>((E18*F18)-G18)</f>
        <v>544.92999999999995</v>
      </c>
    </row>
    <row r="19" spans="1:8" ht="64.5" customHeight="1">
      <c r="A19" s="54">
        <v>3</v>
      </c>
      <c r="B19" s="79" t="s">
        <v>22</v>
      </c>
      <c r="C19" s="49" t="s">
        <v>7</v>
      </c>
      <c r="D19" s="49" t="s">
        <v>7</v>
      </c>
      <c r="E19" s="65">
        <v>0</v>
      </c>
      <c r="F19" s="55">
        <v>0</v>
      </c>
      <c r="G19" s="50">
        <v>0</v>
      </c>
      <c r="H19" s="59">
        <v>0</v>
      </c>
    </row>
    <row r="20" spans="1:8">
      <c r="A20" s="56"/>
      <c r="B20" s="64"/>
      <c r="C20" s="57"/>
      <c r="D20" s="57"/>
      <c r="E20" s="66"/>
      <c r="F20" s="55"/>
      <c r="G20" s="50"/>
      <c r="H20" s="67"/>
    </row>
    <row r="21" spans="1:8">
      <c r="A21" s="48"/>
      <c r="B21" s="48"/>
      <c r="C21" s="48"/>
      <c r="D21" s="48"/>
      <c r="E21" s="51"/>
      <c r="F21" s="74" t="s">
        <v>23</v>
      </c>
      <c r="G21" s="75"/>
      <c r="H21" s="68">
        <f>SUM(H17:H20)</f>
        <v>1359.9299999999998</v>
      </c>
    </row>
    <row r="22" spans="1:8" ht="25.5" customHeight="1">
      <c r="A22" s="48"/>
      <c r="B22" s="48"/>
      <c r="C22" s="48"/>
      <c r="D22" s="48"/>
      <c r="E22" s="51"/>
      <c r="F22" s="76" t="s">
        <v>24</v>
      </c>
      <c r="G22" s="77"/>
      <c r="H22" s="61">
        <f>H21*0</f>
        <v>0</v>
      </c>
    </row>
    <row r="23" spans="1:8">
      <c r="A23" s="48"/>
      <c r="B23" s="48"/>
      <c r="C23" s="48"/>
      <c r="D23" s="48"/>
      <c r="E23" s="51"/>
      <c r="F23" s="74" t="s">
        <v>25</v>
      </c>
      <c r="G23" s="75"/>
      <c r="H23" s="61">
        <f>(H21-H22)*0.15</f>
        <v>203.98949999999996</v>
      </c>
    </row>
    <row r="24" spans="1:8">
      <c r="A24" s="48"/>
      <c r="B24" s="48"/>
      <c r="C24" s="48"/>
      <c r="D24" s="48"/>
      <c r="E24" s="51"/>
      <c r="F24" s="74" t="s">
        <v>26</v>
      </c>
      <c r="G24" s="75"/>
      <c r="H24" s="62">
        <f>(H21-H22)+H23</f>
        <v>1563.9194999999997</v>
      </c>
    </row>
    <row r="25" spans="1:8">
      <c r="A25" s="6"/>
      <c r="B25" s="6"/>
      <c r="C25" s="6"/>
      <c r="D25" s="6"/>
      <c r="E25" s="10"/>
      <c r="F25" s="11"/>
      <c r="G25" s="11"/>
      <c r="H25" s="12"/>
    </row>
    <row r="26" spans="1:8">
      <c r="C26" s="13" t="s">
        <v>27</v>
      </c>
      <c r="D26" s="11"/>
      <c r="E26" s="13" t="s">
        <v>28</v>
      </c>
      <c r="F26" s="11"/>
      <c r="G26" s="11"/>
    </row>
    <row r="27" spans="1:8" ht="25.5">
      <c r="C27" s="38" t="s">
        <v>29</v>
      </c>
      <c r="D27" s="18">
        <f>H24*0.6</f>
        <v>938.35169999999982</v>
      </c>
      <c r="E27" s="39" t="s">
        <v>30</v>
      </c>
      <c r="F27" s="40">
        <v>1563.91</v>
      </c>
      <c r="G27" s="22"/>
    </row>
    <row r="28" spans="1:8" ht="25.5">
      <c r="C28" s="41" t="s">
        <v>31</v>
      </c>
      <c r="D28" s="19">
        <f>H24*0.2</f>
        <v>312.78389999999996</v>
      </c>
      <c r="E28" s="42" t="s">
        <v>32</v>
      </c>
      <c r="F28" s="17">
        <v>0</v>
      </c>
      <c r="G28" s="22"/>
    </row>
    <row r="29" spans="1:8">
      <c r="C29" s="43" t="s">
        <v>33</v>
      </c>
      <c r="D29" s="19">
        <f>H24*0.2</f>
        <v>312.78389999999996</v>
      </c>
      <c r="E29" s="42" t="s">
        <v>34</v>
      </c>
      <c r="F29" s="17">
        <v>0</v>
      </c>
      <c r="G29" s="23"/>
    </row>
    <row r="30" spans="1:8" ht="36">
      <c r="C30" s="44" t="s">
        <v>35</v>
      </c>
      <c r="D30" s="20">
        <f>SUM(D27:D29)</f>
        <v>1563.9194999999997</v>
      </c>
      <c r="E30" s="45" t="s">
        <v>36</v>
      </c>
      <c r="F30" s="46">
        <f>D30-SUM(F27:F29)</f>
        <v>9.499999999661668E-3</v>
      </c>
      <c r="G30" s="37"/>
    </row>
  </sheetData>
  <mergeCells count="12">
    <mergeCell ref="F21:G21"/>
    <mergeCell ref="F22:G22"/>
    <mergeCell ref="F23:G23"/>
    <mergeCell ref="F24:G24"/>
    <mergeCell ref="C15:D15"/>
    <mergeCell ref="E7:H7"/>
    <mergeCell ref="A9:H9"/>
    <mergeCell ref="B10:C10"/>
    <mergeCell ref="B11:C11"/>
    <mergeCell ref="B12:C12"/>
    <mergeCell ref="F10:H10"/>
    <mergeCell ref="F11:H11"/>
  </mergeCells>
  <phoneticPr fontId="5" type="noConversion"/>
  <pageMargins left="0.25" right="0.25" top="0.75" bottom="0.75" header="0.3" footer="0.3"/>
  <pageSetup paperSize="9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</dc:creator>
  <cp:keywords/>
  <dc:description/>
  <cp:lastModifiedBy/>
  <cp:revision/>
  <dcterms:created xsi:type="dcterms:W3CDTF">2013-07-18T03:11:47Z</dcterms:created>
  <dcterms:modified xsi:type="dcterms:W3CDTF">2026-06-17T23:32:16Z</dcterms:modified>
  <cp:category/>
  <cp:contentStatus/>
</cp:coreProperties>
</file>